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 Google\"/>
    </mc:Choice>
  </mc:AlternateContent>
  <xr:revisionPtr revIDLastSave="0" documentId="13_ncr:1_{86E15A45-D194-4265-A21F-479F1F6D2F83}" xr6:coauthVersionLast="47" xr6:coauthVersionMax="47" xr10:uidLastSave="{00000000-0000-0000-0000-000000000000}"/>
  <bookViews>
    <workbookView xWindow="4770" yWindow="2295" windowWidth="21600" windowHeight="11385" tabRatio="500" activeTab="4" xr2:uid="{00000000-000D-0000-FFFF-FFFF00000000}"/>
  </bookViews>
  <sheets>
    <sheet name="RRHH" sheetId="1" r:id="rId1"/>
    <sheet name="Licencias" sheetId="2" r:id="rId2"/>
    <sheet name="Infraestructura" sheetId="3" r:id="rId3"/>
    <sheet name="Beneficios" sheetId="4" r:id="rId4"/>
    <sheet name="Resume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5" l="1"/>
  <c r="B22" i="5"/>
  <c r="B6" i="5"/>
  <c r="G12" i="5" s="1"/>
  <c r="B5" i="5"/>
  <c r="B12" i="4"/>
  <c r="C12" i="4" s="1"/>
  <c r="C10" i="4"/>
  <c r="C9" i="4"/>
  <c r="C8" i="4"/>
  <c r="C7" i="4"/>
  <c r="C6" i="4"/>
  <c r="B9" i="3"/>
  <c r="C9" i="3" s="1"/>
  <c r="B8" i="3"/>
  <c r="C8" i="3" s="1"/>
  <c r="B7" i="3"/>
  <c r="C7" i="3" s="1"/>
  <c r="C6" i="3"/>
  <c r="B6" i="3"/>
  <c r="B5" i="3"/>
  <c r="B11" i="3" s="1"/>
  <c r="B13" i="2"/>
  <c r="C13" i="2" s="1"/>
  <c r="C12" i="2"/>
  <c r="B12" i="2"/>
  <c r="B11" i="2"/>
  <c r="C11" i="2" s="1"/>
  <c r="B10" i="2"/>
  <c r="C10" i="2" s="1"/>
  <c r="B9" i="2"/>
  <c r="C9" i="2" s="1"/>
  <c r="C8" i="2"/>
  <c r="B8" i="2"/>
  <c r="B7" i="2"/>
  <c r="C7" i="2" s="1"/>
  <c r="B6" i="2"/>
  <c r="C6" i="2" s="1"/>
  <c r="B5" i="2"/>
  <c r="B15" i="2" s="1"/>
  <c r="C15" i="2" s="1"/>
  <c r="C4" i="2"/>
  <c r="B4" i="2"/>
  <c r="B15" i="1"/>
  <c r="C15" i="1" s="1"/>
  <c r="B14" i="1"/>
  <c r="C14" i="1" s="1"/>
  <c r="B13" i="1"/>
  <c r="C13" i="1" s="1"/>
  <c r="B12" i="1"/>
  <c r="C12" i="1" s="1"/>
  <c r="B11" i="1"/>
  <c r="C11" i="1" s="1"/>
  <c r="B10" i="1"/>
  <c r="B17" i="1" l="1"/>
  <c r="C11" i="3"/>
  <c r="B8" i="5"/>
  <c r="C10" i="1"/>
  <c r="C17" i="1" s="1"/>
  <c r="B9" i="5" s="1"/>
  <c r="C5" i="2"/>
  <c r="I12" i="5"/>
  <c r="J12" i="5"/>
  <c r="C12" i="5"/>
  <c r="K12" i="5"/>
  <c r="H12" i="5"/>
  <c r="D12" i="5"/>
  <c r="L12" i="5"/>
  <c r="C5" i="3"/>
  <c r="E12" i="5"/>
  <c r="M12" i="5"/>
  <c r="F12" i="5"/>
  <c r="N12" i="5"/>
  <c r="B25" i="5" l="1"/>
  <c r="B26" i="5" s="1"/>
  <c r="B14" i="5"/>
  <c r="B16" i="5" s="1"/>
  <c r="F16" i="5"/>
  <c r="F17" i="5" s="1"/>
  <c r="B24" i="5"/>
  <c r="K13" i="5"/>
  <c r="K16" i="5" s="1"/>
  <c r="K17" i="5" s="1"/>
  <c r="C13" i="5"/>
  <c r="C16" i="5" s="1"/>
  <c r="C17" i="5" s="1"/>
  <c r="J13" i="5"/>
  <c r="J16" i="5" s="1"/>
  <c r="J17" i="5" s="1"/>
  <c r="I13" i="5"/>
  <c r="I16" i="5" s="1"/>
  <c r="I17" i="5" s="1"/>
  <c r="H13" i="5"/>
  <c r="H16" i="5" s="1"/>
  <c r="H17" i="5" s="1"/>
  <c r="L13" i="5"/>
  <c r="L16" i="5" s="1"/>
  <c r="L17" i="5" s="1"/>
  <c r="G13" i="5"/>
  <c r="G16" i="5" s="1"/>
  <c r="G17" i="5" s="1"/>
  <c r="N13" i="5"/>
  <c r="F13" i="5"/>
  <c r="M13" i="5"/>
  <c r="M16" i="5" s="1"/>
  <c r="M17" i="5" s="1"/>
  <c r="E13" i="5"/>
  <c r="E16" i="5" s="1"/>
  <c r="E17" i="5" s="1"/>
  <c r="D13" i="5"/>
  <c r="D16" i="5" s="1"/>
  <c r="D17" i="5" s="1"/>
  <c r="N16" i="5"/>
  <c r="N17" i="5" s="1"/>
  <c r="B18" i="5" l="1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B17" i="5"/>
  <c r="B21" i="5" s="1"/>
</calcChain>
</file>

<file path=xl/sharedStrings.xml><?xml version="1.0" encoding="utf-8"?>
<sst xmlns="http://schemas.openxmlformats.org/spreadsheetml/2006/main" count="130" uniqueCount="122">
  <si>
    <t>RECURSOS HUMANOS — SISTEMA FSM · GRUPO 3 · UNAB 2026</t>
  </si>
  <si>
    <t>Supuesto</t>
  </si>
  <si>
    <t>Valor / Justificación</t>
  </si>
  <si>
    <t>Integrantes del equipo</t>
  </si>
  <si>
    <t>6 personas — Grupo 3, Ingeniería de Software I, UNAB 2026</t>
  </si>
  <si>
    <t>Duración del proyecto</t>
  </si>
  <si>
    <t>52 semanas = 12 meses académicos completos</t>
  </si>
  <si>
    <t>Horas de trabajo / persona / semana</t>
  </si>
  <si>
    <t>Desarrollo, doc., reuniones con cliente y profesor</t>
  </si>
  <si>
    <t>Costo hora estudiante Ing. Informática</t>
  </si>
  <si>
    <t>Costo de oportunidad: ~$500.000/mes ÷ 160 hrs (4° año)</t>
  </si>
  <si>
    <t>Integrante / Rol</t>
  </si>
  <si>
    <t>Horas totales</t>
  </si>
  <si>
    <t>Costo total [CLP]</t>
  </si>
  <si>
    <t>Zepeda, Eduardo — Líder de proyecto</t>
  </si>
  <si>
    <t>Chávez, Fernando — Desarrollador backend</t>
  </si>
  <si>
    <t>Cornejo, Iosef — Desarrollador backend</t>
  </si>
  <si>
    <t>Díaz Jorquera, Vicente — Desarrollador frontend</t>
  </si>
  <si>
    <t>Gálvez, Matías — Desarrollador frontend</t>
  </si>
  <si>
    <t>Rojas, Fernando — QA / Documentación</t>
  </si>
  <si>
    <t>INVERSIÓN TOTAL DESARROLLO</t>
  </si>
  <si>
    <t>Nota: $3.500/hr = costo de oportunidad académico. En mercado real: $15.000–$25.000/hr.</t>
  </si>
  <si>
    <t>COSTOS DE LICENCIAS Y SOFTWARE — SISTEMA FSM</t>
  </si>
  <si>
    <t>Herramienta / Licencia</t>
  </si>
  <si>
    <t>Costo Anual [CLP]</t>
  </si>
  <si>
    <t>Costo Mensual [CLP]</t>
  </si>
  <si>
    <t>Descripción</t>
  </si>
  <si>
    <t>GitHub Team (repositorio + CI/CD)</t>
  </si>
  <si>
    <t>4 USD/mes por usuario × equipo</t>
  </si>
  <si>
    <t>JetBrains All Products (1 licencia)</t>
  </si>
  <si>
    <t>250 USD/año — entorno de desarrollo</t>
  </si>
  <si>
    <t>Figma Professional (2 usuarios)</t>
  </si>
  <si>
    <t>180 USD/año × 2 diseñadores</t>
  </si>
  <si>
    <t>Postman Team (pruebas API REST)</t>
  </si>
  <si>
    <t>Plan gratuito para equipos pequeños</t>
  </si>
  <si>
    <t>Sentry (monitoreo errores prod)</t>
  </si>
  <si>
    <t>Plan gratuito hasta 5K eventos/mes</t>
  </si>
  <si>
    <t>PostgreSQL</t>
  </si>
  <si>
    <t>Open source — sin costo de licencia</t>
  </si>
  <si>
    <t>SvelteKit / NestJS / TypeScript</t>
  </si>
  <si>
    <t>Tailwind CSS</t>
  </si>
  <si>
    <t>Prisma ORM</t>
  </si>
  <si>
    <t>Socket.io</t>
  </si>
  <si>
    <t>TOTAL LICENCIAS ANUAL</t>
  </si>
  <si>
    <t>INFRAESTRUCTURA Y COSTOS OPERATIVOS — SISTEMA FSM</t>
  </si>
  <si>
    <t>Tipo de cambio USD/CLP</t>
  </si>
  <si>
    <t>Referencia BCCh, abril 2026</t>
  </si>
  <si>
    <t>Concepto</t>
  </si>
  <si>
    <t>Railway — backend NestJS (Starter plan)</t>
  </si>
  <si>
    <t>~5 USD/mes — hosting backend en producción</t>
  </si>
  <si>
    <t>Vercel — frontend SvelteKit (Pro plan)</t>
  </si>
  <si>
    <t>~20 USD/mes — despliegue frontend</t>
  </si>
  <si>
    <t>Cloudinary — almacenamiento imágenes OT</t>
  </si>
  <si>
    <t>Plan gratuito 25 GB — suficiente año 1</t>
  </si>
  <si>
    <t>Dominio .cl + certificado SSL</t>
  </si>
  <si>
    <t>~$15.000 CLP/año — NIC Chile</t>
  </si>
  <si>
    <t>Mantención y soporte correctivo estimado</t>
  </si>
  <si>
    <t>~$400.000 CLP/año — 1 día trabajo/mes</t>
  </si>
  <si>
    <t>TOTAL OPERACIÓN ANUAL</t>
  </si>
  <si>
    <t>BENEFICIOS OPERATIVOS MENSUALES — SISTEMA FSM (AJUSTADOS CON CRECIMIENTO)</t>
  </si>
  <si>
    <t>NOTA: El beneficio mensual del año 1 se proyecta conservadoramente en $1.800.000 CLP. Con madurez del sistema (año 2+), los ahorros aumentan por mayor adopción, automatización completa y expansión a Cable Mágico Litoral. Se aplica crecimiento anual del 20%.</t>
  </si>
  <si>
    <t>Fuente del beneficio</t>
  </si>
  <si>
    <t>Beneficio Mensual [CLP]</t>
  </si>
  <si>
    <t>Beneficio Anual [CLP]</t>
  </si>
  <si>
    <t>Base de cálculo</t>
  </si>
  <si>
    <t>Reducción visitas innecesarias a terreno</t>
  </si>
  <si>
    <t>Pareto: 53% de 65 reclamos/mes evitables. 50 visitas × $10.000 CLP (valor real incluyendo HH técnico + traslado)</t>
  </si>
  <si>
    <t>Control de desvío de materiales e inventario</t>
  </si>
  <si>
    <t>15% desvío sobre 125 OT/mes × $21.000 CLP materiales promedio por OT. Habilitado por RF-19 y RF-05</t>
  </si>
  <si>
    <t>Recuperación equipos ONT en bajas y mora</t>
  </si>
  <si>
    <t>6 equipos recuperados/mes × $50.000 CLP (valor ONT). Antes sin sistema se perdían por falta de registro</t>
  </si>
  <si>
    <t>Ahorro jefe técnico: menos coordinación manual</t>
  </si>
  <si>
    <t>3,5 hrs/día × 20 días × $5.000 CLP/hr. Reemplaza WhatsApp por OT automatizadas y alertas (RF-10, RF-11)</t>
  </si>
  <si>
    <t>Prevención fallas NAP masivas por monitoreo</t>
  </si>
  <si>
    <t>3 cortes masivos evitados/mes × $83.000 CLP costo urgente. Habilitado por RF-15 (detección 70%)</t>
  </si>
  <si>
    <t>BENEFICIO MENSUAL TOTAL</t>
  </si>
  <si>
    <t>EVALUACIÓN COSTO-BENEFICIO — SISTEMA FSM · GRUPO 3 UNAB 2026</t>
  </si>
  <si>
    <t>Tasa de descuento anual</t>
  </si>
  <si>
    <t>Costo de oportunidad del capital</t>
  </si>
  <si>
    <t>Tasa mensual = (1+i)^(1/12)-1</t>
  </si>
  <si>
    <t>Equivalencia mensual</t>
  </si>
  <si>
    <t>Beneficio mensual Año 1</t>
  </si>
  <si>
    <t>Suma 5 fuentes — hoja Beneficios</t>
  </si>
  <si>
    <t>Costo operación mensual (estimado)</t>
  </si>
  <si>
    <t>20% más cada año por mayor adopción</t>
  </si>
  <si>
    <t>Costo operación mensual</t>
  </si>
  <si>
    <t>Infra + Licencias</t>
  </si>
  <si>
    <t>Inversión total desarrollo</t>
  </si>
  <si>
    <t>Costo RRHH — hoja RRHH</t>
  </si>
  <si>
    <t>Período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</si>
  <si>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</si>
  <si>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</si>
  <si>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</si>
  <si>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</si>
  <si>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</si>
  <si>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</si>
  <si>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</si>
  <si>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</si>
  <si>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</si>
  <si>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</si>
  <si>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</si>
  <si>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</si>
  <si>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(+) Beneficio mensual</t>
  </si>
  <si>
    <t>(-) Costo operación mensual</t>
  </si>
  <si>
    <t>(-) Inversión inicial</t>
  </si>
  <si>
    <t>Flujo neto</t>
  </si>
  <si>
    <t>Flujo descontado</t>
  </si>
  <si>
    <t>Flujo acumulado</t>
  </si>
  <si>
    <t>INDICADORES FINANCIEROS</t>
  </si>
  <si>
    <t>VAN (10% anual, 12 meses operación) [CLP]</t>
  </si>
  <si>
    <t>Si VAN &gt; 0 el proyecto genera valor. Proyección a 24 meses = VAN positivo.</t>
  </si>
  <si>
    <t>TIR mensual</t>
  </si>
  <si>
    <t>TIR mensual ~1,4% → TIR anual ~18,2%. Supera la tasa de descuento del 10%.</t>
  </si>
  <si>
    <t>TIR anual = (1+TIR mensual)^12 - 1</t>
  </si>
  <si>
    <t>TIR anual calculada desde TIR mensual.</t>
  </si>
  <si>
    <t>ROI anual de operación</t>
  </si>
  <si>
    <t>Ganancia neta anual / Inversión total.</t>
  </si>
  <si>
    <t>Payback (meses de operación)</t>
  </si>
  <si>
    <t>Meses para recuperar la inversión desde el inicio de la operación.</t>
  </si>
  <si>
    <t>Payback total (incl. 12 meses desarrollo)</t>
  </si>
  <si>
    <t>Payback desde el inicio del proyecto.</t>
  </si>
  <si>
    <t>NOTA SOBRE BENEFICIO: El beneficio ajustado de $1.800.000 CLP/mes refleja el impacto real del sistema considerando HH técnico completo + materiales + equipos recuperados + prevención de cortes masivos. Con madurez en año 2 (Cable Mágico + mayor adopción) el beneficio mensual supera los $2.160.000 CLP/mes (+20%), mejorando el VAN significativamente. La TIR del 18,2% supera la tasa de descuento del 10%, lo que confirma la rentabilidad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</si>
</sst>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000%"/>
    <numFmt numFmtId="167" formatCode="\$#,##0;&quot;($&quot;#,##0\);\-"/>
    <numFmt numFmtId="168" formatCode="0.0&quot; meses&quot;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555555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444444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777777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i/>
      <sz val="9"/>
      <color rgb="FF333333"/>
      <name val="Arial"/>
      <charset val="1"/>
    </font>
    <font>
      <b/>
      <sz val="14"/>
      <color rgb="FFFFFFFF"/>
      <name val="Arial"/>
      <charset val="1"/>
    </font>
    <font>
      <sz val="10"/>
      <color rgb="FFC00000"/>
      <name val="Arial"/>
      <charset val="1"/>
    </font>
    <font>
      <b/>
      <sz val="11"/>
      <color rgb="FF1F4E8C"/>
      <name val="Arial"/>
      <charset val="1"/>
    </font>
    <font>
      <b/>
      <sz val="13"/>
      <color rgb="FFE26B0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1A7A4A"/>
        <bgColor rgb="FF008080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6B0A"/>
        <bgColor rgb="FFFF99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F4E8C"/>
      </left>
      <right style="thin">
        <color rgb="FF1F4E8C"/>
      </right>
      <top style="thin">
        <color rgb="FF1F4E8C"/>
      </top>
      <bottom style="thin">
        <color rgb="FF1F4E8C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3" fillId="5" borderId="0" xfId="0" applyFont="1" applyFill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7" fillId="12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3" fillId="4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3" fillId="0" borderId="0" xfId="0" applyFont="1"/>
    <xf numFmtId="164" fontId="4" fillId="5" borderId="1" xfId="0" applyNumberFormat="1" applyFont="1" applyFill="1" applyBorder="1"/>
    <xf numFmtId="0" fontId="11" fillId="0" borderId="0" xfId="0" applyFont="1"/>
    <xf numFmtId="0" fontId="12" fillId="8" borderId="1" xfId="0" applyFont="1" applyFill="1" applyBorder="1" applyAlignment="1">
      <alignment horizontal="left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164" fontId="14" fillId="7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3" fillId="8" borderId="1" xfId="0" applyFont="1" applyFill="1" applyBorder="1"/>
    <xf numFmtId="164" fontId="0" fillId="10" borderId="1" xfId="0" applyNumberFormat="1" applyFill="1" applyBorder="1" applyAlignment="1">
      <alignment horizontal="right" vertical="center"/>
    </xf>
    <xf numFmtId="0" fontId="3" fillId="11" borderId="1" xfId="0" applyFont="1" applyFill="1" applyBorder="1"/>
    <xf numFmtId="164" fontId="3" fillId="11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/>
    <xf numFmtId="164" fontId="15" fillId="4" borderId="1" xfId="0" applyNumberFormat="1" applyFon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6" fillId="2" borderId="1" xfId="0" applyFont="1" applyFill="1" applyBorder="1"/>
    <xf numFmtId="167" fontId="6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/>
    <xf numFmtId="167" fontId="3" fillId="10" borderId="1" xfId="0" applyNumberFormat="1" applyFont="1" applyFill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 wrapText="1"/>
    </xf>
    <xf numFmtId="167" fontId="16" fillId="10" borderId="1" xfId="0" applyNumberFormat="1" applyFont="1" applyFill="1" applyBorder="1" applyAlignment="1">
      <alignment horizontal="right" vertical="center"/>
    </xf>
    <xf numFmtId="166" fontId="16" fillId="10" borderId="1" xfId="0" applyNumberFormat="1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left" vertical="center" wrapText="1"/>
    </xf>
    <xf numFmtId="165" fontId="17" fillId="11" borderId="1" xfId="0" applyNumberFormat="1" applyFont="1" applyFill="1" applyBorder="1" applyAlignment="1">
      <alignment horizontal="right" vertical="center"/>
    </xf>
    <xf numFmtId="168" fontId="16" fillId="10" borderId="1" xfId="0" applyNumberFormat="1" applyFont="1" applyFill="1" applyBorder="1" applyAlignment="1">
      <alignment horizontal="right" vertical="center"/>
    </xf>
    <xf numFmtId="168" fontId="17" fillId="11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26B0A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1F4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zoomScaleNormal="100" workbookViewId="0">
      <selection activeCell="B8" sqref="B8"/>
    </sheetView>
  </sheetViews>
  <sheetFormatPr defaultColWidth="8.7109375" defaultRowHeight="15" x14ac:dyDescent="0.25"/>
  <cols>
    <col min="1" max="1" width="36" customWidth="1"/>
    <col min="2" max="2" width="18" customWidth="1"/>
    <col min="3" max="3" width="40" customWidth="1"/>
  </cols>
  <sheetData>
    <row r="1" spans="1:5" ht="25.5" customHeight="1" x14ac:dyDescent="0.25">
      <c r="A1" s="9" t="s">
        <v>0</v>
      </c>
      <c r="B1" s="9"/>
      <c r="C1" s="9"/>
    </row>
    <row r="2" spans="1:5" ht="6" customHeight="1" x14ac:dyDescent="0.25">
      <c r="A2" s="10"/>
      <c r="B2" s="10"/>
      <c r="C2" s="10"/>
      <c r="D2" s="10"/>
      <c r="E2" s="10"/>
    </row>
    <row r="3" spans="1:5" ht="12.75" customHeight="1" x14ac:dyDescent="0.25">
      <c r="A3" s="11" t="s">
        <v>1</v>
      </c>
      <c r="C3" s="11" t="s">
        <v>2</v>
      </c>
    </row>
    <row r="4" spans="1:5" ht="15.75" customHeight="1" x14ac:dyDescent="0.25">
      <c r="A4" s="12" t="s">
        <v>3</v>
      </c>
      <c r="B4" s="13">
        <v>6</v>
      </c>
      <c r="C4" s="14" t="s">
        <v>4</v>
      </c>
    </row>
    <row r="5" spans="1:5" ht="15.75" customHeight="1" x14ac:dyDescent="0.25">
      <c r="A5" s="12" t="s">
        <v>5</v>
      </c>
      <c r="B5" s="13">
        <v>36</v>
      </c>
      <c r="C5" s="14" t="s">
        <v>6</v>
      </c>
    </row>
    <row r="6" spans="1:5" ht="15.75" customHeight="1" x14ac:dyDescent="0.25">
      <c r="A6" s="12" t="s">
        <v>7</v>
      </c>
      <c r="B6" s="13">
        <v>10</v>
      </c>
      <c r="C6" s="14" t="s">
        <v>8</v>
      </c>
    </row>
    <row r="7" spans="1:5" ht="15.75" customHeight="1" x14ac:dyDescent="0.25">
      <c r="A7" s="12" t="s">
        <v>9</v>
      </c>
      <c r="B7" s="15">
        <v>8500</v>
      </c>
      <c r="C7" s="14" t="s">
        <v>10</v>
      </c>
    </row>
    <row r="8" spans="1:5" ht="6" customHeight="1" x14ac:dyDescent="0.25">
      <c r="A8" s="10"/>
      <c r="B8" s="10"/>
      <c r="C8" s="10"/>
      <c r="D8" s="10"/>
      <c r="E8" s="10"/>
    </row>
    <row r="9" spans="1:5" ht="18" customHeight="1" x14ac:dyDescent="0.25">
      <c r="A9" s="16" t="s">
        <v>11</v>
      </c>
      <c r="B9" s="16" t="s">
        <v>12</v>
      </c>
      <c r="C9" s="16" t="s">
        <v>13</v>
      </c>
    </row>
    <row r="10" spans="1:5" ht="15.75" customHeight="1" x14ac:dyDescent="0.25">
      <c r="A10" s="12" t="s">
        <v>14</v>
      </c>
      <c r="B10" s="17">
        <f t="shared" ref="B10:B15" si="0">$B$5*$B$6</f>
        <v>360</v>
      </c>
      <c r="C10" s="18">
        <f t="shared" ref="C10:C15" si="1">B10*$B$7</f>
        <v>3060000</v>
      </c>
    </row>
    <row r="11" spans="1:5" ht="15.75" customHeight="1" x14ac:dyDescent="0.25">
      <c r="A11" s="19" t="s">
        <v>15</v>
      </c>
      <c r="B11" s="20">
        <f t="shared" si="0"/>
        <v>360</v>
      </c>
      <c r="C11" s="21">
        <f t="shared" si="1"/>
        <v>3060000</v>
      </c>
    </row>
    <row r="12" spans="1:5" ht="15.75" customHeight="1" x14ac:dyDescent="0.25">
      <c r="A12" s="12" t="s">
        <v>16</v>
      </c>
      <c r="B12" s="17">
        <f t="shared" si="0"/>
        <v>360</v>
      </c>
      <c r="C12" s="18">
        <f t="shared" si="1"/>
        <v>3060000</v>
      </c>
    </row>
    <row r="13" spans="1:5" ht="15.75" customHeight="1" x14ac:dyDescent="0.25">
      <c r="A13" s="19" t="s">
        <v>17</v>
      </c>
      <c r="B13" s="20">
        <f t="shared" si="0"/>
        <v>360</v>
      </c>
      <c r="C13" s="21">
        <f t="shared" si="1"/>
        <v>3060000</v>
      </c>
    </row>
    <row r="14" spans="1:5" ht="15.75" customHeight="1" x14ac:dyDescent="0.25">
      <c r="A14" s="12" t="s">
        <v>18</v>
      </c>
      <c r="B14" s="17">
        <f t="shared" si="0"/>
        <v>360</v>
      </c>
      <c r="C14" s="18">
        <f t="shared" si="1"/>
        <v>3060000</v>
      </c>
    </row>
    <row r="15" spans="1:5" ht="15.75" customHeight="1" x14ac:dyDescent="0.25">
      <c r="A15" s="19" t="s">
        <v>19</v>
      </c>
      <c r="B15" s="20">
        <f t="shared" si="0"/>
        <v>360</v>
      </c>
      <c r="C15" s="21">
        <f t="shared" si="1"/>
        <v>3060000</v>
      </c>
    </row>
    <row r="16" spans="1:5" ht="6" customHeight="1" x14ac:dyDescent="0.25">
      <c r="A16" s="10"/>
      <c r="B16" s="10"/>
      <c r="C16" s="10"/>
      <c r="D16" s="10"/>
      <c r="E16" s="10"/>
    </row>
    <row r="17" spans="1:5" ht="21.75" customHeight="1" x14ac:dyDescent="0.25">
      <c r="A17" s="22" t="s">
        <v>20</v>
      </c>
      <c r="B17" s="23">
        <f>SUM(B10:B15)</f>
        <v>2160</v>
      </c>
      <c r="C17" s="24">
        <f>SUM(C10:C15)</f>
        <v>18360000</v>
      </c>
    </row>
    <row r="18" spans="1:5" ht="7.5" customHeight="1" x14ac:dyDescent="0.25">
      <c r="A18" s="10"/>
      <c r="B18" s="10"/>
      <c r="C18" s="10"/>
      <c r="D18" s="10"/>
      <c r="E18" s="10"/>
    </row>
    <row r="19" spans="1:5" ht="15" customHeight="1" x14ac:dyDescent="0.25">
      <c r="A19" s="8" t="s">
        <v>21</v>
      </c>
      <c r="B19" s="8"/>
      <c r="C19" s="8"/>
    </row>
  </sheetData>
  <mergeCells count="2">
    <mergeCell ref="A1:C1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4" customWidth="1"/>
    <col min="2" max="3" width="18" customWidth="1"/>
    <col min="4" max="4" width="36" customWidth="1"/>
  </cols>
  <sheetData>
    <row r="1" spans="1:5" ht="25.5" customHeight="1" x14ac:dyDescent="0.25">
      <c r="A1" s="9" t="s">
        <v>22</v>
      </c>
      <c r="B1" s="9"/>
      <c r="C1" s="9"/>
      <c r="D1" s="9"/>
    </row>
    <row r="2" spans="1:5" ht="6" customHeight="1" x14ac:dyDescent="0.25">
      <c r="A2" s="10"/>
      <c r="B2" s="10"/>
      <c r="C2" s="10"/>
      <c r="D2" s="10"/>
      <c r="E2" s="10"/>
    </row>
    <row r="3" spans="1:5" ht="15.75" customHeight="1" x14ac:dyDescent="0.25">
      <c r="A3" s="25" t="s">
        <v>23</v>
      </c>
      <c r="B3" s="25" t="s">
        <v>24</v>
      </c>
      <c r="C3" s="25" t="s">
        <v>25</v>
      </c>
      <c r="D3" s="25" t="s">
        <v>26</v>
      </c>
    </row>
    <row r="4" spans="1:5" ht="15.75" customHeight="1" x14ac:dyDescent="0.25">
      <c r="A4" s="12" t="s">
        <v>27</v>
      </c>
      <c r="B4" s="18">
        <f>4*12*880</f>
        <v>42240</v>
      </c>
      <c r="C4" s="18">
        <f t="shared" ref="C4:C13" si="0">B4/12</f>
        <v>3520</v>
      </c>
      <c r="D4" s="14" t="s">
        <v>28</v>
      </c>
    </row>
    <row r="5" spans="1:5" ht="15.75" customHeight="1" x14ac:dyDescent="0.25">
      <c r="A5" s="19" t="s">
        <v>29</v>
      </c>
      <c r="B5" s="21">
        <f>250*880</f>
        <v>220000</v>
      </c>
      <c r="C5" s="21">
        <f t="shared" si="0"/>
        <v>18333.333333333332</v>
      </c>
      <c r="D5" s="26" t="s">
        <v>30</v>
      </c>
    </row>
    <row r="6" spans="1:5" ht="15.75" customHeight="1" x14ac:dyDescent="0.25">
      <c r="A6" s="12" t="s">
        <v>31</v>
      </c>
      <c r="B6" s="18">
        <f>2*180*880</f>
        <v>316800</v>
      </c>
      <c r="C6" s="18">
        <f t="shared" si="0"/>
        <v>26400</v>
      </c>
      <c r="D6" s="14" t="s">
        <v>32</v>
      </c>
    </row>
    <row r="7" spans="1:5" ht="15.75" customHeight="1" x14ac:dyDescent="0.25">
      <c r="A7" s="19" t="s">
        <v>33</v>
      </c>
      <c r="B7" s="21">
        <f>0</f>
        <v>0</v>
      </c>
      <c r="C7" s="21">
        <f t="shared" si="0"/>
        <v>0</v>
      </c>
      <c r="D7" s="26" t="s">
        <v>34</v>
      </c>
    </row>
    <row r="8" spans="1:5" ht="15.75" customHeight="1" x14ac:dyDescent="0.25">
      <c r="A8" s="12" t="s">
        <v>35</v>
      </c>
      <c r="B8" s="18">
        <f>0</f>
        <v>0</v>
      </c>
      <c r="C8" s="18">
        <f t="shared" si="0"/>
        <v>0</v>
      </c>
      <c r="D8" s="14" t="s">
        <v>36</v>
      </c>
    </row>
    <row r="9" spans="1:5" ht="15.75" customHeight="1" x14ac:dyDescent="0.25">
      <c r="A9" s="19" t="s">
        <v>37</v>
      </c>
      <c r="B9" s="21">
        <f>0</f>
        <v>0</v>
      </c>
      <c r="C9" s="21">
        <f t="shared" si="0"/>
        <v>0</v>
      </c>
      <c r="D9" s="26" t="s">
        <v>38</v>
      </c>
    </row>
    <row r="10" spans="1:5" ht="15.75" customHeight="1" x14ac:dyDescent="0.25">
      <c r="A10" s="12" t="s">
        <v>39</v>
      </c>
      <c r="B10" s="18">
        <f>0</f>
        <v>0</v>
      </c>
      <c r="C10" s="18">
        <f t="shared" si="0"/>
        <v>0</v>
      </c>
      <c r="D10" s="14" t="s">
        <v>38</v>
      </c>
    </row>
    <row r="11" spans="1:5" ht="15.75" customHeight="1" x14ac:dyDescent="0.25">
      <c r="A11" s="19" t="s">
        <v>40</v>
      </c>
      <c r="B11" s="21">
        <f>0</f>
        <v>0</v>
      </c>
      <c r="C11" s="21">
        <f t="shared" si="0"/>
        <v>0</v>
      </c>
      <c r="D11" s="26" t="s">
        <v>38</v>
      </c>
    </row>
    <row r="12" spans="1:5" ht="15.75" customHeight="1" x14ac:dyDescent="0.25">
      <c r="A12" s="12" t="s">
        <v>41</v>
      </c>
      <c r="B12" s="18">
        <f>0</f>
        <v>0</v>
      </c>
      <c r="C12" s="18">
        <f t="shared" si="0"/>
        <v>0</v>
      </c>
      <c r="D12" s="14" t="s">
        <v>38</v>
      </c>
    </row>
    <row r="13" spans="1:5" ht="15.75" customHeight="1" x14ac:dyDescent="0.25">
      <c r="A13" s="19" t="s">
        <v>42</v>
      </c>
      <c r="B13" s="21">
        <f>0</f>
        <v>0</v>
      </c>
      <c r="C13" s="21">
        <f t="shared" si="0"/>
        <v>0</v>
      </c>
      <c r="D13" s="26" t="s">
        <v>38</v>
      </c>
    </row>
    <row r="14" spans="1:5" ht="6" customHeight="1" x14ac:dyDescent="0.25">
      <c r="A14" s="10"/>
      <c r="B14" s="10"/>
      <c r="C14" s="10"/>
      <c r="D14" s="10"/>
      <c r="E14" s="10"/>
    </row>
    <row r="15" spans="1:5" ht="19.5" customHeight="1" x14ac:dyDescent="0.25">
      <c r="A15" s="27" t="s">
        <v>43</v>
      </c>
      <c r="B15" s="28">
        <f>SUM(B4:B13)</f>
        <v>579040</v>
      </c>
      <c r="C15" s="28">
        <f>B15/12</f>
        <v>48253.333333333336</v>
      </c>
      <c r="D15" s="2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4" customWidth="1"/>
    <col min="2" max="3" width="18" customWidth="1"/>
    <col min="4" max="4" width="36" customWidth="1"/>
  </cols>
  <sheetData>
    <row r="1" spans="1:5" ht="25.5" customHeight="1" x14ac:dyDescent="0.25">
      <c r="A1" s="9" t="s">
        <v>44</v>
      </c>
      <c r="B1" s="9"/>
      <c r="C1" s="9"/>
      <c r="D1" s="9"/>
    </row>
    <row r="2" spans="1:5" ht="13.5" customHeight="1" x14ac:dyDescent="0.25">
      <c r="A2" s="30" t="s">
        <v>45</v>
      </c>
      <c r="B2" s="31">
        <v>880</v>
      </c>
      <c r="C2" s="32" t="s">
        <v>46</v>
      </c>
    </row>
    <row r="3" spans="1:5" ht="6" customHeight="1" x14ac:dyDescent="0.25">
      <c r="A3" s="10"/>
      <c r="B3" s="10"/>
      <c r="C3" s="10"/>
      <c r="D3" s="10"/>
      <c r="E3" s="10"/>
    </row>
    <row r="4" spans="1:5" ht="15.75" customHeight="1" x14ac:dyDescent="0.25">
      <c r="A4" s="25" t="s">
        <v>47</v>
      </c>
      <c r="B4" s="25" t="s">
        <v>24</v>
      </c>
      <c r="C4" s="25" t="s">
        <v>25</v>
      </c>
      <c r="D4" s="25" t="s">
        <v>26</v>
      </c>
    </row>
    <row r="5" spans="1:5" ht="15.75" customHeight="1" x14ac:dyDescent="0.25">
      <c r="A5" s="19" t="s">
        <v>48</v>
      </c>
      <c r="B5" s="21">
        <f>5*12*$B$2</f>
        <v>52800</v>
      </c>
      <c r="C5" s="21">
        <f>B5/12</f>
        <v>4400</v>
      </c>
      <c r="D5" s="26" t="s">
        <v>49</v>
      </c>
    </row>
    <row r="6" spans="1:5" ht="15.75" customHeight="1" x14ac:dyDescent="0.25">
      <c r="A6" s="12" t="s">
        <v>50</v>
      </c>
      <c r="B6" s="18">
        <f>20*12*$B$2</f>
        <v>211200</v>
      </c>
      <c r="C6" s="18">
        <f>B6/12</f>
        <v>17600</v>
      </c>
      <c r="D6" s="14" t="s">
        <v>51</v>
      </c>
    </row>
    <row r="7" spans="1:5" ht="15.75" customHeight="1" x14ac:dyDescent="0.25">
      <c r="A7" s="19" t="s">
        <v>52</v>
      </c>
      <c r="B7" s="21">
        <f>0</f>
        <v>0</v>
      </c>
      <c r="C7" s="21">
        <f>B7/12</f>
        <v>0</v>
      </c>
      <c r="D7" s="26" t="s">
        <v>53</v>
      </c>
    </row>
    <row r="8" spans="1:5" ht="15.75" customHeight="1" x14ac:dyDescent="0.25">
      <c r="A8" s="12" t="s">
        <v>54</v>
      </c>
      <c r="B8" s="18">
        <f>15000</f>
        <v>15000</v>
      </c>
      <c r="C8" s="18">
        <f>B8/12</f>
        <v>1250</v>
      </c>
      <c r="D8" s="14" t="s">
        <v>55</v>
      </c>
    </row>
    <row r="9" spans="1:5" ht="15.75" customHeight="1" x14ac:dyDescent="0.25">
      <c r="A9" s="19" t="s">
        <v>56</v>
      </c>
      <c r="B9" s="21">
        <f>400000</f>
        <v>400000</v>
      </c>
      <c r="C9" s="21">
        <f>B9/12</f>
        <v>33333.333333333336</v>
      </c>
      <c r="D9" s="26" t="s">
        <v>57</v>
      </c>
    </row>
    <row r="10" spans="1:5" ht="6" customHeight="1" x14ac:dyDescent="0.25">
      <c r="A10" s="10"/>
      <c r="B10" s="10"/>
      <c r="C10" s="10"/>
      <c r="D10" s="10"/>
      <c r="E10" s="10"/>
    </row>
    <row r="11" spans="1:5" ht="19.5" customHeight="1" x14ac:dyDescent="0.25">
      <c r="A11" s="27" t="s">
        <v>58</v>
      </c>
      <c r="B11" s="28">
        <f>SUM(B5:B9)</f>
        <v>679000</v>
      </c>
      <c r="C11" s="28">
        <f>B11/12</f>
        <v>56583.333333333336</v>
      </c>
      <c r="D11" s="2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4" customWidth="1"/>
    <col min="2" max="3" width="18" customWidth="1"/>
    <col min="4" max="4" width="42" customWidth="1"/>
  </cols>
  <sheetData>
    <row r="1" spans="1:5" ht="25.5" customHeight="1" x14ac:dyDescent="0.25">
      <c r="A1" s="7" t="s">
        <v>59</v>
      </c>
      <c r="B1" s="7"/>
      <c r="C1" s="7"/>
      <c r="D1" s="7"/>
    </row>
    <row r="2" spans="1:5" ht="7.5" customHeight="1" x14ac:dyDescent="0.25">
      <c r="A2" s="10"/>
      <c r="B2" s="10"/>
      <c r="C2" s="10"/>
      <c r="D2" s="10"/>
      <c r="E2" s="10"/>
    </row>
    <row r="3" spans="1:5" ht="36" customHeight="1" x14ac:dyDescent="0.25">
      <c r="A3" s="6" t="s">
        <v>60</v>
      </c>
      <c r="B3" s="6"/>
      <c r="C3" s="6"/>
      <c r="D3" s="6"/>
    </row>
    <row r="4" spans="1:5" ht="7.5" customHeight="1" x14ac:dyDescent="0.25">
      <c r="A4" s="10"/>
      <c r="B4" s="10"/>
      <c r="C4" s="10"/>
      <c r="D4" s="10"/>
      <c r="E4" s="10"/>
    </row>
    <row r="5" spans="1:5" ht="15.75" customHeight="1" x14ac:dyDescent="0.25">
      <c r="A5" s="25" t="s">
        <v>61</v>
      </c>
      <c r="B5" s="25" t="s">
        <v>62</v>
      </c>
      <c r="C5" s="25" t="s">
        <v>63</v>
      </c>
      <c r="D5" s="25" t="s">
        <v>64</v>
      </c>
    </row>
    <row r="6" spans="1:5" ht="33.75" customHeight="1" x14ac:dyDescent="0.25">
      <c r="A6" s="33" t="s">
        <v>65</v>
      </c>
      <c r="B6" s="15">
        <v>500000</v>
      </c>
      <c r="C6" s="34">
        <f>B6*12</f>
        <v>6000000</v>
      </c>
      <c r="D6" s="35" t="s">
        <v>66</v>
      </c>
    </row>
    <row r="7" spans="1:5" ht="33.75" customHeight="1" x14ac:dyDescent="0.25">
      <c r="A7" s="36" t="s">
        <v>67</v>
      </c>
      <c r="B7" s="15">
        <v>400000</v>
      </c>
      <c r="C7" s="21">
        <f>B7*12</f>
        <v>4800000</v>
      </c>
      <c r="D7" s="37" t="s">
        <v>68</v>
      </c>
    </row>
    <row r="8" spans="1:5" ht="33.75" customHeight="1" x14ac:dyDescent="0.25">
      <c r="A8" s="33" t="s">
        <v>69</v>
      </c>
      <c r="B8" s="15">
        <v>300000</v>
      </c>
      <c r="C8" s="34">
        <f>B8*12</f>
        <v>3600000</v>
      </c>
      <c r="D8" s="35" t="s">
        <v>70</v>
      </c>
    </row>
    <row r="9" spans="1:5" ht="33.75" customHeight="1" x14ac:dyDescent="0.25">
      <c r="A9" s="36" t="s">
        <v>71</v>
      </c>
      <c r="B9" s="15">
        <v>350000</v>
      </c>
      <c r="C9" s="21">
        <f>B9*12</f>
        <v>4200000</v>
      </c>
      <c r="D9" s="37" t="s">
        <v>72</v>
      </c>
    </row>
    <row r="10" spans="1:5" ht="33.75" customHeight="1" x14ac:dyDescent="0.25">
      <c r="A10" s="33" t="s">
        <v>73</v>
      </c>
      <c r="B10" s="15">
        <v>250000</v>
      </c>
      <c r="C10" s="34">
        <f>B10*12</f>
        <v>3000000</v>
      </c>
      <c r="D10" s="35" t="s">
        <v>74</v>
      </c>
    </row>
    <row r="11" spans="1:5" ht="6" customHeight="1" x14ac:dyDescent="0.25">
      <c r="A11" s="10"/>
      <c r="B11" s="10"/>
      <c r="C11" s="10"/>
      <c r="D11" s="10"/>
      <c r="E11" s="10"/>
    </row>
    <row r="12" spans="1:5" ht="21.75" customHeight="1" x14ac:dyDescent="0.25">
      <c r="A12" s="27" t="s">
        <v>75</v>
      </c>
      <c r="B12" s="38">
        <f>SUM(B6:B10)</f>
        <v>1800000</v>
      </c>
      <c r="C12" s="38">
        <f>B12*12</f>
        <v>21600000</v>
      </c>
      <c r="D12" s="29"/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showGridLines="0" tabSelected="1" topLeftCell="A6" zoomScaleNormal="100" workbookViewId="0">
      <selection activeCell="A28" sqref="A28:O28"/>
    </sheetView>
  </sheetViews>
  <sheetFormatPr defaultColWidth="8.7109375" defaultRowHeight="15" x14ac:dyDescent="0.25"/>
  <cols>
    <col min="1" max="1" width="32" customWidth="1"/>
    <col min="2" max="2" width="13.42578125" customWidth="1"/>
    <col min="3" max="3" width="13.140625" customWidth="1"/>
    <col min="4" max="4" width="14.42578125" customWidth="1"/>
    <col min="5" max="5" width="13.28515625" customWidth="1"/>
    <col min="6" max="6" width="12.5703125" customWidth="1"/>
    <col min="7" max="15" width="11" customWidth="1"/>
  </cols>
  <sheetData>
    <row r="1" spans="1:15" ht="25.5" customHeight="1" x14ac:dyDescent="0.25">
      <c r="A1" s="9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6" customHeight="1" x14ac:dyDescent="0.25">
      <c r="A2" s="10"/>
      <c r="B2" s="10"/>
      <c r="C2" s="10"/>
      <c r="D2" s="10"/>
      <c r="E2" s="10"/>
    </row>
    <row r="4" spans="1:15" ht="15.75" customHeight="1" x14ac:dyDescent="0.25">
      <c r="A4" s="12" t="s">
        <v>77</v>
      </c>
      <c r="B4" s="39">
        <v>0.1</v>
      </c>
      <c r="C4" s="5" t="s">
        <v>78</v>
      </c>
      <c r="D4" s="5"/>
      <c r="E4" s="5"/>
      <c r="F4" s="5"/>
      <c r="G4" s="5"/>
    </row>
    <row r="5" spans="1:15" ht="15.75" customHeight="1" x14ac:dyDescent="0.25">
      <c r="A5" s="12" t="s">
        <v>79</v>
      </c>
      <c r="B5" s="40">
        <f>(1+B4)^(1/12)-1</f>
        <v>7.9741404289037643E-3</v>
      </c>
      <c r="C5" s="5" t="s">
        <v>80</v>
      </c>
      <c r="D5" s="5"/>
      <c r="E5" s="5"/>
      <c r="F5" s="5"/>
      <c r="G5" s="5"/>
    </row>
    <row r="6" spans="1:15" ht="15.75" customHeight="1" x14ac:dyDescent="0.25">
      <c r="A6" s="12" t="s">
        <v>81</v>
      </c>
      <c r="B6" s="15">
        <f>Beneficios!B12</f>
        <v>1800000</v>
      </c>
      <c r="C6" s="5" t="s">
        <v>82</v>
      </c>
      <c r="D6" s="5"/>
      <c r="E6" s="5"/>
      <c r="F6" s="5"/>
      <c r="G6" s="5"/>
    </row>
    <row r="7" spans="1:15" ht="15.75" customHeight="1" x14ac:dyDescent="0.25">
      <c r="A7" s="12" t="s">
        <v>83</v>
      </c>
      <c r="B7" s="39">
        <v>0.2</v>
      </c>
      <c r="C7" s="5" t="s">
        <v>84</v>
      </c>
      <c r="D7" s="5"/>
      <c r="E7" s="5"/>
      <c r="F7" s="5"/>
      <c r="G7" s="5"/>
    </row>
    <row r="8" spans="1:15" ht="15.75" customHeight="1" x14ac:dyDescent="0.25">
      <c r="A8" s="12" t="s">
        <v>85</v>
      </c>
      <c r="B8" s="41">
        <f>(Infraestructura!B11+Licencias!B15)/12</f>
        <v>104836.66666666667</v>
      </c>
      <c r="C8" s="5" t="s">
        <v>86</v>
      </c>
      <c r="D8" s="5"/>
      <c r="E8" s="5"/>
      <c r="F8" s="5"/>
      <c r="G8" s="5"/>
    </row>
    <row r="9" spans="1:15" ht="15.75" customHeight="1" x14ac:dyDescent="0.25">
      <c r="A9" s="12" t="s">
        <v>87</v>
      </c>
      <c r="B9" s="15">
        <f>RRHH!C17</f>
        <v>18360000</v>
      </c>
      <c r="C9" s="5" t="s">
        <v>88</v>
      </c>
      <c r="D9" s="5"/>
      <c r="E9" s="5"/>
      <c r="F9" s="5"/>
      <c r="G9" s="5"/>
    </row>
    <row r="10" spans="1:15" ht="6" customHeight="1" x14ac:dyDescent="0.25">
      <c r="A10" s="10"/>
      <c r="B10" s="10"/>
      <c r="C10" s="10"/>
      <c r="D10" s="10"/>
      <c r="E10" s="10"/>
    </row>
    <row r="11" spans="1:15" ht="18" customHeight="1" x14ac:dyDescent="0.25">
      <c r="A11" s="42" t="s">
        <v>47</v>
      </c>
      <c r="B11" s="43" t="s">
        <v>89</v>
      </c>
      <c r="C11" s="25" t="s">
        <v>90</v>
      </c>
      <c r="D11" s="25" t="s">
        <v>91</v>
      </c>
      <c r="E11" s="25" t="s">
        <v>92</v>
      </c>
      <c r="F11" s="25" t="s">
        <v>93</v>
      </c>
      <c r="G11" s="25" t="s">
        <v>94</v>
      </c>
      <c r="H11" s="25" t="s">
        <v>95</v>
      </c>
      <c r="I11" s="25" t="s">
        <v>96</v>
      </c>
      <c r="J11" s="25" t="s">
        <v>97</v>
      </c>
      <c r="K11" s="25" t="s">
        <v>98</v>
      </c>
      <c r="L11" s="25" t="s">
        <v>99</v>
      </c>
      <c r="M11" s="25" t="s">
        <v>100</v>
      </c>
      <c r="N11" s="25" t="s">
        <v>101</v>
      </c>
    </row>
    <row r="12" spans="1:15" ht="15.75" customHeight="1" x14ac:dyDescent="0.25">
      <c r="A12" s="44" t="s">
        <v>102</v>
      </c>
      <c r="B12" s="45">
        <v>0</v>
      </c>
      <c r="C12" s="34">
        <f t="shared" ref="C12:N12" si="0">$B$6</f>
        <v>1800000</v>
      </c>
      <c r="D12" s="34">
        <f t="shared" si="0"/>
        <v>1800000</v>
      </c>
      <c r="E12" s="34">
        <f t="shared" si="0"/>
        <v>1800000</v>
      </c>
      <c r="F12" s="34">
        <f t="shared" si="0"/>
        <v>1800000</v>
      </c>
      <c r="G12" s="34">
        <f t="shared" si="0"/>
        <v>1800000</v>
      </c>
      <c r="H12" s="34">
        <f t="shared" si="0"/>
        <v>1800000</v>
      </c>
      <c r="I12" s="34">
        <f t="shared" si="0"/>
        <v>1800000</v>
      </c>
      <c r="J12" s="34">
        <f t="shared" si="0"/>
        <v>1800000</v>
      </c>
      <c r="K12" s="34">
        <f t="shared" si="0"/>
        <v>1800000</v>
      </c>
      <c r="L12" s="34">
        <f t="shared" si="0"/>
        <v>1800000</v>
      </c>
      <c r="M12" s="34">
        <f t="shared" si="0"/>
        <v>1800000</v>
      </c>
      <c r="N12" s="34">
        <f t="shared" si="0"/>
        <v>1800000</v>
      </c>
    </row>
    <row r="13" spans="1:15" ht="15.75" customHeight="1" x14ac:dyDescent="0.25">
      <c r="A13" s="46" t="s">
        <v>103</v>
      </c>
      <c r="B13" s="45">
        <v>0</v>
      </c>
      <c r="C13" s="47">
        <f t="shared" ref="C13:N13" si="1">$B$8</f>
        <v>104836.66666666667</v>
      </c>
      <c r="D13" s="47">
        <f t="shared" si="1"/>
        <v>104836.66666666667</v>
      </c>
      <c r="E13" s="47">
        <f t="shared" si="1"/>
        <v>104836.66666666667</v>
      </c>
      <c r="F13" s="47">
        <f t="shared" si="1"/>
        <v>104836.66666666667</v>
      </c>
      <c r="G13" s="47">
        <f t="shared" si="1"/>
        <v>104836.66666666667</v>
      </c>
      <c r="H13" s="47">
        <f t="shared" si="1"/>
        <v>104836.66666666667</v>
      </c>
      <c r="I13" s="47">
        <f t="shared" si="1"/>
        <v>104836.66666666667</v>
      </c>
      <c r="J13" s="47">
        <f t="shared" si="1"/>
        <v>104836.66666666667</v>
      </c>
      <c r="K13" s="47">
        <f t="shared" si="1"/>
        <v>104836.66666666667</v>
      </c>
      <c r="L13" s="47">
        <f t="shared" si="1"/>
        <v>104836.66666666667</v>
      </c>
      <c r="M13" s="47">
        <f t="shared" si="1"/>
        <v>104836.66666666667</v>
      </c>
      <c r="N13" s="47">
        <f t="shared" si="1"/>
        <v>104836.66666666667</v>
      </c>
    </row>
    <row r="14" spans="1:15" ht="15.75" customHeight="1" x14ac:dyDescent="0.25">
      <c r="A14" s="48" t="s">
        <v>104</v>
      </c>
      <c r="B14" s="49">
        <f>$B$9</f>
        <v>18360000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</row>
    <row r="15" spans="1:15" ht="3.75" customHeight="1" x14ac:dyDescent="0.25">
      <c r="A15" s="10"/>
      <c r="B15" s="10"/>
      <c r="C15" s="10"/>
      <c r="D15" s="10"/>
      <c r="E15" s="10"/>
    </row>
    <row r="16" spans="1:15" ht="18" customHeight="1" x14ac:dyDescent="0.25">
      <c r="A16" s="51" t="s">
        <v>105</v>
      </c>
      <c r="B16" s="52">
        <f>-B14</f>
        <v>-18360000</v>
      </c>
      <c r="C16" s="52">
        <f t="shared" ref="C16:N16" si="2">C12-C13-C14</f>
        <v>1695163.3333333333</v>
      </c>
      <c r="D16" s="52">
        <f t="shared" si="2"/>
        <v>1695163.3333333333</v>
      </c>
      <c r="E16" s="52">
        <f t="shared" si="2"/>
        <v>1695163.3333333333</v>
      </c>
      <c r="F16" s="52">
        <f t="shared" si="2"/>
        <v>1695163.3333333333</v>
      </c>
      <c r="G16" s="52">
        <f t="shared" si="2"/>
        <v>1695163.3333333333</v>
      </c>
      <c r="H16" s="52">
        <f t="shared" si="2"/>
        <v>1695163.3333333333</v>
      </c>
      <c r="I16" s="52">
        <f t="shared" si="2"/>
        <v>1695163.3333333333</v>
      </c>
      <c r="J16" s="52">
        <f t="shared" si="2"/>
        <v>1695163.3333333333</v>
      </c>
      <c r="K16" s="52">
        <f t="shared" si="2"/>
        <v>1695163.3333333333</v>
      </c>
      <c r="L16" s="52">
        <f t="shared" si="2"/>
        <v>1695163.3333333333</v>
      </c>
      <c r="M16" s="52">
        <f t="shared" si="2"/>
        <v>1695163.3333333333</v>
      </c>
      <c r="N16" s="52">
        <f t="shared" si="2"/>
        <v>1695163.3333333333</v>
      </c>
    </row>
    <row r="17" spans="1:15" ht="15.75" customHeight="1" x14ac:dyDescent="0.25">
      <c r="A17" s="53" t="s">
        <v>106</v>
      </c>
      <c r="B17" s="54">
        <f>B16</f>
        <v>-18360000</v>
      </c>
      <c r="C17" s="54">
        <f>C16/(1+$B$5)^1</f>
        <v>1681752.8003367458</v>
      </c>
      <c r="D17" s="54">
        <f>D16/(1+$B$5)^2</f>
        <v>1668448.3588251006</v>
      </c>
      <c r="E17" s="54">
        <f>E16/(1+$B$5)^3</f>
        <v>1655249.1695026602</v>
      </c>
      <c r="F17" s="54">
        <f>F16/(1+$B$5)^4</f>
        <v>1642154.3997134031</v>
      </c>
      <c r="G17" s="54">
        <f>G16/(1+$B$5)^5</f>
        <v>1629163.2233884977</v>
      </c>
      <c r="H17" s="54">
        <f>H16/(1+$B$5)^6</f>
        <v>1616274.8209941888</v>
      </c>
      <c r="I17" s="54">
        <f>I16/(1+$B$5)^7</f>
        <v>1603488.3794800995</v>
      </c>
      <c r="J17" s="54">
        <f>J16/(1+$B$5)^8</f>
        <v>1590803.0922279393</v>
      </c>
      <c r="K17" s="54">
        <f>K16/(1+$B$5)^9</f>
        <v>1578218.1590006223</v>
      </c>
      <c r="L17" s="54">
        <f>L16/(1+$B$5)^10</f>
        <v>1565732.7858917825</v>
      </c>
      <c r="M17" s="54">
        <f>M16/(1+$B$5)^11</f>
        <v>1553346.1852756923</v>
      </c>
      <c r="N17" s="54">
        <f>N16/(1+$B$5)^12</f>
        <v>1541057.5757575752</v>
      </c>
    </row>
    <row r="18" spans="1:15" ht="15.75" customHeight="1" x14ac:dyDescent="0.25">
      <c r="A18" s="48" t="s">
        <v>107</v>
      </c>
      <c r="B18" s="55">
        <f>B16</f>
        <v>-18360000</v>
      </c>
      <c r="C18" s="55">
        <f t="shared" ref="C18:N18" si="3">B18+C16</f>
        <v>-16664836.666666666</v>
      </c>
      <c r="D18" s="55">
        <f t="shared" si="3"/>
        <v>-14969673.333333332</v>
      </c>
      <c r="E18" s="55">
        <f t="shared" si="3"/>
        <v>-13274509.999999998</v>
      </c>
      <c r="F18" s="55">
        <f t="shared" si="3"/>
        <v>-11579346.666666664</v>
      </c>
      <c r="G18" s="55">
        <f t="shared" si="3"/>
        <v>-9884183.3333333302</v>
      </c>
      <c r="H18" s="55">
        <f t="shared" si="3"/>
        <v>-8189019.9999999972</v>
      </c>
      <c r="I18" s="55">
        <f t="shared" si="3"/>
        <v>-6493856.6666666642</v>
      </c>
      <c r="J18" s="55">
        <f t="shared" si="3"/>
        <v>-4798693.3333333312</v>
      </c>
      <c r="K18" s="55">
        <f t="shared" si="3"/>
        <v>-3103529.9999999981</v>
      </c>
      <c r="L18" s="55">
        <f t="shared" si="3"/>
        <v>-1408366.6666666649</v>
      </c>
      <c r="M18" s="55">
        <f t="shared" si="3"/>
        <v>286796.66666666837</v>
      </c>
      <c r="N18" s="55">
        <f t="shared" si="3"/>
        <v>1981960.0000000016</v>
      </c>
    </row>
    <row r="19" spans="1:15" ht="6" customHeight="1" x14ac:dyDescent="0.25">
      <c r="A19" s="10"/>
      <c r="B19" s="10"/>
      <c r="C19" s="10"/>
      <c r="D19" s="10"/>
      <c r="E19" s="10"/>
    </row>
    <row r="20" spans="1:15" ht="18" customHeight="1" x14ac:dyDescent="0.25">
      <c r="A20" s="4" t="s">
        <v>108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8" customHeight="1" x14ac:dyDescent="0.25">
      <c r="A21" s="56" t="s">
        <v>109</v>
      </c>
      <c r="B21" s="57">
        <f>SUM(B17:N17)</f>
        <v>965688.95039430889</v>
      </c>
      <c r="C21" s="3" t="s">
        <v>110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8" customHeight="1" x14ac:dyDescent="0.25">
      <c r="A22" s="56" t="s">
        <v>111</v>
      </c>
      <c r="B22" s="58">
        <f>0.014</f>
        <v>1.4E-2</v>
      </c>
      <c r="C22" s="3" t="s">
        <v>112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21.75" customHeight="1" x14ac:dyDescent="0.25">
      <c r="A23" s="59" t="s">
        <v>113</v>
      </c>
      <c r="B23" s="60">
        <f>(1+B22)^12-1</f>
        <v>0.18155912891812287</v>
      </c>
      <c r="C23" s="2" t="s">
        <v>114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1.75" customHeight="1" x14ac:dyDescent="0.25">
      <c r="A24" s="59" t="s">
        <v>115</v>
      </c>
      <c r="B24" s="60">
        <f>IFERROR(($B$6-$B$8)*12/$B$9,0)</f>
        <v>1.1079498910675381</v>
      </c>
      <c r="C24" s="2" t="s">
        <v>116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8" customHeight="1" x14ac:dyDescent="0.25">
      <c r="A25" s="56" t="s">
        <v>117</v>
      </c>
      <c r="B25" s="61">
        <f>IFERROR($B$9/($B$6-$B$8),0)</f>
        <v>10.830814729750722</v>
      </c>
      <c r="C25" s="3" t="s">
        <v>118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21.75" customHeight="1" x14ac:dyDescent="0.25">
      <c r="A26" s="59" t="s">
        <v>119</v>
      </c>
      <c r="B26" s="62">
        <f>B25+12</f>
        <v>22.83081472975072</v>
      </c>
      <c r="C26" s="2" t="s">
        <v>120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7.5" customHeight="1" x14ac:dyDescent="0.25">
      <c r="A27" s="10"/>
      <c r="B27" s="10"/>
      <c r="C27" s="10"/>
      <c r="D27" s="10"/>
      <c r="E27" s="10"/>
    </row>
    <row r="28" spans="1:15" ht="42" customHeight="1" x14ac:dyDescent="0.25">
      <c r="A28" s="1" t="s">
        <v>121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mergeCells count="15">
    <mergeCell ref="C23:O23"/>
    <mergeCell ref="C24:O24"/>
    <mergeCell ref="C25:O25"/>
    <mergeCell ref="C26:O26"/>
    <mergeCell ref="A28:O28"/>
    <mergeCell ref="C8:G8"/>
    <mergeCell ref="C9:G9"/>
    <mergeCell ref="A20:O20"/>
    <mergeCell ref="C21:O21"/>
    <mergeCell ref="C22:O22"/>
    <mergeCell ref="A1:O1"/>
    <mergeCell ref="C4:G4"/>
    <mergeCell ref="C5:G5"/>
    <mergeCell ref="C6:G6"/>
    <mergeCell ref="C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RRHH</vt:lpstr>
      <vt:lpstr>Licencias</vt:lpstr>
      <vt:lpstr>Infraestructura</vt:lpstr>
      <vt:lpstr>Beneficios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ZEPEDA MONDACA EDUARDO N</cp:lastModifiedBy>
  <cp:revision>0</cp:revision>
  <dcterms:created xsi:type="dcterms:W3CDTF">2026-04-22T00:37:13Z</dcterms:created>
  <dcterms:modified xsi:type="dcterms:W3CDTF">2026-04-22T02:16:23Z</dcterms:modified>
  <dc:language>en-US</dc:language>
</cp:coreProperties>
</file>